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aaz\Documents\Codex\2026-10-07\th\outputs\"/>
    </mc:Choice>
  </mc:AlternateContent>
  <xr:revisionPtr revIDLastSave="0" documentId="13_ncr:1_{A8B1F939-838E-4709-AE9F-DABBA34D9A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2" r:id="rId1"/>
    <sheet name="Gantt" sheetId="1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J19" i="1"/>
  <c r="I19" i="1"/>
  <c r="H19" i="1"/>
  <c r="D19" i="1"/>
  <c r="K18" i="1"/>
  <c r="I18" i="1"/>
  <c r="H18" i="1"/>
  <c r="D18" i="1"/>
  <c r="J9" i="1" s="1"/>
  <c r="K17" i="1"/>
  <c r="I17" i="1"/>
  <c r="H17" i="1"/>
  <c r="D17" i="1"/>
  <c r="J10" i="1" s="1"/>
  <c r="K16" i="1"/>
  <c r="J16" i="1"/>
  <c r="I16" i="1"/>
  <c r="H16" i="1"/>
  <c r="D16" i="1"/>
  <c r="J11" i="1" s="1"/>
  <c r="J15" i="1"/>
  <c r="I15" i="1"/>
  <c r="H15" i="1"/>
  <c r="D15" i="1"/>
  <c r="K14" i="1"/>
  <c r="J14" i="1"/>
  <c r="I14" i="1"/>
  <c r="H14" i="1"/>
  <c r="D14" i="1"/>
  <c r="K13" i="1"/>
  <c r="J13" i="1"/>
  <c r="I13" i="1"/>
  <c r="H13" i="1"/>
  <c r="D13" i="1"/>
  <c r="K12" i="1"/>
  <c r="J12" i="1"/>
  <c r="I12" i="1"/>
  <c r="H12" i="1"/>
  <c r="D12" i="1"/>
  <c r="K15" i="1" s="1"/>
  <c r="K11" i="1"/>
  <c r="I11" i="1"/>
  <c r="H11" i="1"/>
  <c r="D11" i="1"/>
  <c r="K10" i="1"/>
  <c r="I10" i="1"/>
  <c r="H10" i="1"/>
  <c r="D10" i="1"/>
  <c r="J17" i="1" s="1"/>
  <c r="K9" i="1"/>
  <c r="I9" i="1"/>
  <c r="H9" i="1"/>
  <c r="D9" i="1"/>
  <c r="J18" i="1" s="1"/>
  <c r="K8" i="1"/>
  <c r="J8" i="1"/>
  <c r="I8" i="1"/>
  <c r="H8" i="1"/>
  <c r="D8" i="1"/>
  <c r="E4" i="1"/>
</calcChain>
</file>

<file path=xl/sharedStrings.xml><?xml version="1.0" encoding="utf-8"?>
<sst xmlns="http://schemas.openxmlformats.org/spreadsheetml/2006/main" count="37" uniqueCount="24">
  <si>
    <t>Smart Waste Collection Scheduling System</t>
  </si>
  <si>
    <t>Gantt Chart</t>
  </si>
  <si>
    <t>Project start</t>
  </si>
  <si>
    <t>Calendar days</t>
  </si>
  <si>
    <t>Task</t>
  </si>
  <si>
    <t>Start</t>
  </si>
  <si>
    <t>Finish</t>
  </si>
  <si>
    <t>Days</t>
  </si>
  <si>
    <t>Priority</t>
  </si>
  <si>
    <t>Offset</t>
  </si>
  <si>
    <t>High</t>
  </si>
  <si>
    <t>Medium</t>
  </si>
  <si>
    <t>System Request</t>
  </si>
  <si>
    <t>Feasibility Study</t>
  </si>
  <si>
    <t>PERT and Gantt Chart</t>
  </si>
  <si>
    <t>Interview</t>
  </si>
  <si>
    <t>Questionnaire</t>
  </si>
  <si>
    <t>Data Flow Diagram</t>
  </si>
  <si>
    <t>Data Store</t>
  </si>
  <si>
    <t>Process Specification</t>
  </si>
  <si>
    <t>Entity Relationship</t>
  </si>
  <si>
    <t>Normalization</t>
  </si>
  <si>
    <t>Design</t>
  </si>
  <si>
    <t>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</si>
</sst>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sz val="11"/>
      <name val="Arial"/>
    </font>
    <font>
      <b/>
      <sz val="17"/>
      <name val="Arial"/>
    </font>
    <font>
      <b/>
      <sz val="11"/>
      <color rgb="FFFFFFFF"/>
      <name val="Arial"/>
    </font>
    <font>
      <sz val="10"/>
      <color rgb="FF667788"/>
      <name val="Arial"/>
    </font>
  </fonts>
  <fills count="3">
    <fill>
      <patternFill patternType="none"/>
    </fill>
    <fill>
      <patternFill patternType="gray125"/>
    </fill>
    <fill>
      <patternFill patternType="solid">
        <fgColor rgb="FF243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2">
    <dxf>
      <font>
        <color rgb="FF356FA8"/>
      </font>
      <fill>
        <patternFill patternType="solid">
          <bgColor rgb="FFE1EDFA"/>
        </patternFill>
      </fill>
    </dxf>
    <dxf>
      <font>
        <color rgb="FFB73535"/>
      </font>
      <fill>
        <patternFill patternType="solid">
          <bgColor rgb="FFFFE3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v>Offset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Gantt!$H$8:$H$19</c:f>
              <c:strCache>
                <c:ptCount val="12"/>
                <c:pt idx="0">
                  <c:v>Implementation</c:v>
                </c:pt>
                <c:pt idx="1">
                  <c:v>Design</c:v>
                </c:pt>
                <c:pt idx="2">
                  <c:v>Normalization</c:v>
                </c:pt>
                <c:pt idx="3">
                  <c:v>Entity Relationship</c:v>
                </c:pt>
                <c:pt idx="4">
                  <c:v>Process Specification</c:v>
                </c:pt>
                <c:pt idx="5">
                  <c:v>Data Store</c:v>
                </c:pt>
                <c:pt idx="6">
                  <c:v>Data Flow Diagram</c:v>
                </c:pt>
                <c:pt idx="7">
                  <c:v>Questionnaire</c:v>
                </c:pt>
                <c:pt idx="8">
                  <c:v>Interview</c:v>
                </c:pt>
                <c:pt idx="9">
                  <c:v>PERT and Gantt Chart</c:v>
                </c:pt>
                <c:pt idx="10">
                  <c:v>Feasibility Study</c:v>
                </c:pt>
                <c:pt idx="11">
                  <c:v>System Request</c:v>
                </c:pt>
              </c:strCache>
            </c:strRef>
          </c:cat>
          <c:val>
            <c:numRef>
              <c:f>Gantt!$I$8:$I$19</c:f>
              <c:numCache>
                <c:formatCode>General</c:formatCode>
                <c:ptCount val="12"/>
                <c:pt idx="0">
                  <c:v>56</c:v>
                </c:pt>
                <c:pt idx="1">
                  <c:v>36</c:v>
                </c:pt>
                <c:pt idx="2">
                  <c:v>32</c:v>
                </c:pt>
                <c:pt idx="3">
                  <c:v>28</c:v>
                </c:pt>
                <c:pt idx="4">
                  <c:v>24</c:v>
                </c:pt>
                <c:pt idx="5">
                  <c:v>22</c:v>
                </c:pt>
                <c:pt idx="6">
                  <c:v>18</c:v>
                </c:pt>
                <c:pt idx="7">
                  <c:v>15</c:v>
                </c:pt>
                <c:pt idx="8">
                  <c:v>12</c:v>
                </c:pt>
                <c:pt idx="9">
                  <c:v>6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1-4A50-9410-D35326977ADA}"/>
            </c:ext>
          </c:extLst>
        </c:ser>
        <c:ser>
          <c:idx val="1"/>
          <c:order val="1"/>
          <c:tx>
            <c:v>High</c:v>
          </c:tx>
          <c:spPr>
            <a:gradFill>
              <a:gsLst>
                <a:gs pos="0">
                  <a:schemeClr val="accent2">
                    <a:tint val="94000"/>
                    <a:lumMod val="102000"/>
                    <a:satMod val="103000"/>
                  </a:schemeClr>
                </a:gs>
                <a:gs pos="50000">
                  <a:schemeClr val="accent2">
                    <a:shade val="100000"/>
                    <a:lumMod val="100000"/>
                    <a:satMod val="110000"/>
                  </a:schemeClr>
                </a:gs>
                <a:gs pos="100000">
                  <a:schemeClr val="accent2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1"/>
          <c:dPt>
            <c:idx val="0"/>
            <c:invertIfNegative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343C-4A28-9608-AE80F999795E}"/>
              </c:ext>
            </c:extLst>
          </c:dPt>
          <c:dPt>
            <c:idx val="1"/>
            <c:invertIfNegative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3C-4A28-9608-AE80F999795E}"/>
              </c:ext>
            </c:extLst>
          </c:dPt>
          <c:dPt>
            <c:idx val="2"/>
            <c:invertIfNegative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43C-4A28-9608-AE80F999795E}"/>
              </c:ext>
            </c:extLst>
          </c:dPt>
          <c:dPt>
            <c:idx val="3"/>
            <c:invertIfNegative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43C-4A28-9608-AE80F999795E}"/>
              </c:ext>
            </c:extLst>
          </c:dPt>
          <c:dPt>
            <c:idx val="4"/>
            <c:invertIfNegative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3C-4A28-9608-AE80F999795E}"/>
              </c:ext>
            </c:extLst>
          </c:dPt>
          <c:dPt>
            <c:idx val="5"/>
            <c:invertIfNegative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3C-4A28-9608-AE80F999795E}"/>
              </c:ext>
            </c:extLst>
          </c:dPt>
          <c:dPt>
            <c:idx val="6"/>
            <c:invertIfNegative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43C-4A28-9608-AE80F999795E}"/>
              </c:ext>
            </c:extLst>
          </c:dPt>
          <c:dPt>
            <c:idx val="9"/>
            <c:invertIfNegative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43C-4A28-9608-AE80F999795E}"/>
              </c:ext>
            </c:extLst>
          </c:dPt>
          <c:dPt>
            <c:idx val="10"/>
            <c:invertIfNegative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343C-4A28-9608-AE80F999795E}"/>
              </c:ext>
            </c:extLst>
          </c:dPt>
          <c:dPt>
            <c:idx val="11"/>
            <c:invertIfNegative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43C-4A28-9608-AE80F999795E}"/>
              </c:ext>
            </c:extLst>
          </c:dPt>
          <c:cat>
            <c:strRef>
              <c:f>Gantt!$H$8:$H$19</c:f>
              <c:strCache>
                <c:ptCount val="12"/>
                <c:pt idx="0">
                  <c:v>Implementation</c:v>
                </c:pt>
                <c:pt idx="1">
                  <c:v>Design</c:v>
                </c:pt>
                <c:pt idx="2">
                  <c:v>Normalization</c:v>
                </c:pt>
                <c:pt idx="3">
                  <c:v>Entity Relationship</c:v>
                </c:pt>
                <c:pt idx="4">
                  <c:v>Process Specification</c:v>
                </c:pt>
                <c:pt idx="5">
                  <c:v>Data Store</c:v>
                </c:pt>
                <c:pt idx="6">
                  <c:v>Data Flow Diagram</c:v>
                </c:pt>
                <c:pt idx="7">
                  <c:v>Questionnaire</c:v>
                </c:pt>
                <c:pt idx="8">
                  <c:v>Interview</c:v>
                </c:pt>
                <c:pt idx="9">
                  <c:v>PERT and Gantt Chart</c:v>
                </c:pt>
                <c:pt idx="10">
                  <c:v>Feasibility Study</c:v>
                </c:pt>
                <c:pt idx="11">
                  <c:v>System Request</c:v>
                </c:pt>
              </c:strCache>
            </c:strRef>
          </c:cat>
          <c:val>
            <c:numRef>
              <c:f>Gantt!$J$8:$J$19</c:f>
              <c:numCache>
                <c:formatCode>General</c:formatCode>
                <c:ptCount val="12"/>
                <c:pt idx="0">
                  <c:v>24</c:v>
                </c:pt>
                <c:pt idx="1">
                  <c:v>20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B1-4A50-9410-D35326977ADA}"/>
            </c:ext>
          </c:extLst>
        </c:ser>
        <c:ser>
          <c:idx val="2"/>
          <c:order val="2"/>
          <c:tx>
            <c:v>Medium</c:v>
          </c:tx>
          <c:spPr>
            <a:gradFill>
              <a:gsLst>
                <a:gs pos="0">
                  <a:schemeClr val="accent3">
                    <a:tint val="94000"/>
                    <a:lumMod val="102000"/>
                    <a:satMod val="103000"/>
                  </a:schemeClr>
                </a:gs>
                <a:gs pos="50000">
                  <a:schemeClr val="accent3">
                    <a:shade val="100000"/>
                    <a:lumMod val="100000"/>
                    <a:satMod val="110000"/>
                  </a:schemeClr>
                </a:gs>
                <a:gs pos="100000">
                  <a:schemeClr val="accent3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1"/>
          <c:dPt>
            <c:idx val="7"/>
            <c:invertIfNegative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43C-4A28-9608-AE80F999795E}"/>
              </c:ext>
            </c:extLst>
          </c:dPt>
          <c:dPt>
            <c:idx val="8"/>
            <c:invertIfNegative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343C-4A28-9608-AE80F999795E}"/>
              </c:ext>
            </c:extLst>
          </c:dPt>
          <c:cat>
            <c:strRef>
              <c:f>Gantt!$H$8:$H$19</c:f>
              <c:strCache>
                <c:ptCount val="12"/>
                <c:pt idx="0">
                  <c:v>Implementation</c:v>
                </c:pt>
                <c:pt idx="1">
                  <c:v>Design</c:v>
                </c:pt>
                <c:pt idx="2">
                  <c:v>Normalization</c:v>
                </c:pt>
                <c:pt idx="3">
                  <c:v>Entity Relationship</c:v>
                </c:pt>
                <c:pt idx="4">
                  <c:v>Process Specification</c:v>
                </c:pt>
                <c:pt idx="5">
                  <c:v>Data Store</c:v>
                </c:pt>
                <c:pt idx="6">
                  <c:v>Data Flow Diagram</c:v>
                </c:pt>
                <c:pt idx="7">
                  <c:v>Questionnaire</c:v>
                </c:pt>
                <c:pt idx="8">
                  <c:v>Interview</c:v>
                </c:pt>
                <c:pt idx="9">
                  <c:v>PERT and Gantt Chart</c:v>
                </c:pt>
                <c:pt idx="10">
                  <c:v>Feasibility Study</c:v>
                </c:pt>
                <c:pt idx="11">
                  <c:v>System Request</c:v>
                </c:pt>
              </c:strCache>
            </c:strRef>
          </c:cat>
          <c:val>
            <c:numRef>
              <c:f>Gantt!$K$8:$K$19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B1-4A50-9410-D35326977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220DA5-A60C-43D3-8D78-16F2FC8C4DB9}">
  <sheetPr/>
  <sheetViews>
    <sheetView tabSelected="1" workbookViewId="0"/>
  </sheetViews>
  <pageMargins left="0.25" right="0.25" top="0.25" bottom="0.25" header="0" footer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515B-2A0C-4795-9087-4D733F22CCFB}">
  <dimension ref="A1:P48"/>
  <sheetViews>
    <sheetView showGridLines="0" topLeftCell="A16" zoomScale="75" zoomScaleNormal="75" workbookViewId="0">
      <selection activeCell="C2" sqref="C2"/>
    </sheetView>
  </sheetViews>
  <sheetFormatPr defaultRowHeight="13.8"/>
  <cols>
    <col min="1" max="1" width="32" customWidth="1"/>
    <col min="2" max="3" width="15" customWidth="1"/>
    <col min="4" max="5" width="13" customWidth="1"/>
    <col min="6" max="7" width="12" customWidth="1"/>
    <col min="8" max="8" width="32" customWidth="1"/>
    <col min="9" max="16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.6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 t="s">
        <v>2</v>
      </c>
      <c r="B4" s="3">
        <v>46287</v>
      </c>
      <c r="C4" s="1"/>
      <c r="D4" s="1" t="s">
        <v>3</v>
      </c>
      <c r="E4" s="1">
        <f>MAX(C8:C19)-B4+1</f>
        <v>80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5.95" customHeight="1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1"/>
      <c r="G7" s="1"/>
      <c r="H7" s="5" t="s">
        <v>4</v>
      </c>
      <c r="I7" s="5" t="s">
        <v>9</v>
      </c>
      <c r="J7" s="5" t="s">
        <v>10</v>
      </c>
      <c r="K7" s="5" t="s">
        <v>11</v>
      </c>
      <c r="L7" s="1"/>
      <c r="M7" s="1"/>
      <c r="N7" s="1"/>
      <c r="O7" s="1"/>
      <c r="P7" s="1"/>
    </row>
    <row r="8" spans="1:16" ht="25.05" customHeight="1">
      <c r="A8" s="1" t="s">
        <v>12</v>
      </c>
      <c r="B8" s="3">
        <v>46287</v>
      </c>
      <c r="C8" s="3">
        <v>46288</v>
      </c>
      <c r="D8" s="1">
        <f t="shared" ref="D8:D19" si="0">C8-B8+1</f>
        <v>2</v>
      </c>
      <c r="E8" s="1" t="s">
        <v>10</v>
      </c>
      <c r="F8" s="1"/>
      <c r="G8" s="1"/>
      <c r="H8" s="5" t="str">
        <f>A19</f>
        <v>Implementation</v>
      </c>
      <c r="I8" s="5">
        <f>B19-$B$4</f>
        <v>56</v>
      </c>
      <c r="J8" s="5">
        <f>IF(E19="High",D19,0)</f>
        <v>24</v>
      </c>
      <c r="K8" s="5">
        <f>IF(E19="Medium",D19,0)</f>
        <v>0</v>
      </c>
      <c r="L8" s="1"/>
      <c r="M8" s="1"/>
      <c r="N8" s="1"/>
      <c r="O8" s="1"/>
      <c r="P8" s="1"/>
    </row>
    <row r="9" spans="1:16" ht="25.05" customHeight="1">
      <c r="A9" s="1" t="s">
        <v>13</v>
      </c>
      <c r="B9" s="3">
        <v>46289</v>
      </c>
      <c r="C9" s="3">
        <v>46292</v>
      </c>
      <c r="D9" s="1">
        <f t="shared" si="0"/>
        <v>4</v>
      </c>
      <c r="E9" s="1" t="s">
        <v>10</v>
      </c>
      <c r="F9" s="1"/>
      <c r="G9" s="1"/>
      <c r="H9" s="5" t="str">
        <f>A18</f>
        <v>Design</v>
      </c>
      <c r="I9" s="5">
        <f>B18-$B$4</f>
        <v>36</v>
      </c>
      <c r="J9" s="5">
        <f>IF(E18="High",D18,0)</f>
        <v>20</v>
      </c>
      <c r="K9" s="5">
        <f>IF(E18="Medium",D18,0)</f>
        <v>0</v>
      </c>
      <c r="L9" s="1"/>
      <c r="M9" s="1"/>
      <c r="N9" s="1"/>
      <c r="O9" s="1"/>
      <c r="P9" s="1"/>
    </row>
    <row r="10" spans="1:16" ht="25.05" customHeight="1">
      <c r="A10" s="1" t="s">
        <v>14</v>
      </c>
      <c r="B10" s="3">
        <v>46293</v>
      </c>
      <c r="C10" s="3">
        <v>46298</v>
      </c>
      <c r="D10" s="1">
        <f t="shared" si="0"/>
        <v>6</v>
      </c>
      <c r="E10" s="1" t="s">
        <v>10</v>
      </c>
      <c r="F10" s="1"/>
      <c r="G10" s="1"/>
      <c r="H10" s="5" t="str">
        <f>A17</f>
        <v>Normalization</v>
      </c>
      <c r="I10" s="5">
        <f>B17-$B$4</f>
        <v>32</v>
      </c>
      <c r="J10" s="5">
        <f>IF(E17="High",D17,0)</f>
        <v>4</v>
      </c>
      <c r="K10" s="5">
        <f>IF(E17="Medium",D17,0)</f>
        <v>0</v>
      </c>
      <c r="L10" s="1"/>
      <c r="M10" s="1"/>
      <c r="N10" s="1"/>
      <c r="O10" s="1"/>
      <c r="P10" s="1"/>
    </row>
    <row r="11" spans="1:16" ht="25.05" customHeight="1">
      <c r="A11" s="1" t="s">
        <v>15</v>
      </c>
      <c r="B11" s="3">
        <v>46299</v>
      </c>
      <c r="C11" s="3">
        <v>46301</v>
      </c>
      <c r="D11" s="1">
        <f t="shared" si="0"/>
        <v>3</v>
      </c>
      <c r="E11" s="1" t="s">
        <v>11</v>
      </c>
      <c r="F11" s="1"/>
      <c r="G11" s="1"/>
      <c r="H11" s="5" t="str">
        <f>A16</f>
        <v>Entity Relationship</v>
      </c>
      <c r="I11" s="5">
        <f>B16-$B$4</f>
        <v>28</v>
      </c>
      <c r="J11" s="5">
        <f>IF(E16="High",D16,0)</f>
        <v>4</v>
      </c>
      <c r="K11" s="5">
        <f>IF(E16="Medium",D16,0)</f>
        <v>0</v>
      </c>
      <c r="L11" s="1"/>
      <c r="M11" s="1"/>
      <c r="N11" s="1"/>
      <c r="O11" s="1"/>
      <c r="P11" s="1"/>
    </row>
    <row r="12" spans="1:16" ht="25.05" customHeight="1">
      <c r="A12" s="1" t="s">
        <v>16</v>
      </c>
      <c r="B12" s="3">
        <v>46302</v>
      </c>
      <c r="C12" s="3">
        <v>46304</v>
      </c>
      <c r="D12" s="1">
        <f t="shared" si="0"/>
        <v>3</v>
      </c>
      <c r="E12" s="1" t="s">
        <v>11</v>
      </c>
      <c r="F12" s="1"/>
      <c r="G12" s="1"/>
      <c r="H12" s="5" t="str">
        <f>A15</f>
        <v>Process Specification</v>
      </c>
      <c r="I12" s="5">
        <f>B15-$B$4</f>
        <v>24</v>
      </c>
      <c r="J12" s="5">
        <f>IF(E15="High",D15,0)</f>
        <v>4</v>
      </c>
      <c r="K12" s="5">
        <f>IF(E15="Medium",D15,0)</f>
        <v>0</v>
      </c>
      <c r="L12" s="1"/>
      <c r="M12" s="1"/>
      <c r="N12" s="1"/>
      <c r="O12" s="1"/>
      <c r="P12" s="1"/>
    </row>
    <row r="13" spans="1:16" ht="25.05" customHeight="1">
      <c r="A13" s="1" t="s">
        <v>17</v>
      </c>
      <c r="B13" s="3">
        <v>46305</v>
      </c>
      <c r="C13" s="3">
        <v>46308</v>
      </c>
      <c r="D13" s="1">
        <f t="shared" si="0"/>
        <v>4</v>
      </c>
      <c r="E13" s="1" t="s">
        <v>10</v>
      </c>
      <c r="F13" s="1"/>
      <c r="G13" s="1"/>
      <c r="H13" s="5" t="str">
        <f>A14</f>
        <v>Data Store</v>
      </c>
      <c r="I13" s="5">
        <f>B14-$B$4</f>
        <v>22</v>
      </c>
      <c r="J13" s="5">
        <f>IF(E14="High",D14,0)</f>
        <v>2</v>
      </c>
      <c r="K13" s="5">
        <f>IF(E14="Medium",D14,0)</f>
        <v>0</v>
      </c>
      <c r="L13" s="1"/>
      <c r="M13" s="1"/>
      <c r="N13" s="1"/>
      <c r="O13" s="1"/>
      <c r="P13" s="1"/>
    </row>
    <row r="14" spans="1:16" ht="25.05" customHeight="1">
      <c r="A14" s="1" t="s">
        <v>18</v>
      </c>
      <c r="B14" s="3">
        <v>46309</v>
      </c>
      <c r="C14" s="3">
        <v>46310</v>
      </c>
      <c r="D14" s="1">
        <f t="shared" si="0"/>
        <v>2</v>
      </c>
      <c r="E14" s="1" t="s">
        <v>10</v>
      </c>
      <c r="F14" s="1"/>
      <c r="G14" s="1"/>
      <c r="H14" s="5" t="str">
        <f>A13</f>
        <v>Data Flow Diagram</v>
      </c>
      <c r="I14" s="5">
        <f>B13-$B$4</f>
        <v>18</v>
      </c>
      <c r="J14" s="5">
        <f>IF(E13="High",D13,0)</f>
        <v>4</v>
      </c>
      <c r="K14" s="5">
        <f>IF(E13="Medium",D13,0)</f>
        <v>0</v>
      </c>
      <c r="L14" s="1"/>
      <c r="M14" s="1"/>
      <c r="N14" s="1"/>
      <c r="O14" s="1"/>
      <c r="P14" s="1"/>
    </row>
    <row r="15" spans="1:16" ht="25.05" customHeight="1">
      <c r="A15" s="1" t="s">
        <v>19</v>
      </c>
      <c r="B15" s="3">
        <v>46311</v>
      </c>
      <c r="C15" s="3">
        <v>46314</v>
      </c>
      <c r="D15" s="1">
        <f t="shared" si="0"/>
        <v>4</v>
      </c>
      <c r="E15" s="1" t="s">
        <v>10</v>
      </c>
      <c r="F15" s="1"/>
      <c r="G15" s="1"/>
      <c r="H15" s="5" t="str">
        <f>A12</f>
        <v>Questionnaire</v>
      </c>
      <c r="I15" s="5">
        <f>B12-$B$4</f>
        <v>15</v>
      </c>
      <c r="J15" s="5">
        <f>IF(E12="High",D12,0)</f>
        <v>0</v>
      </c>
      <c r="K15" s="5">
        <f>IF(E12="Medium",D12,0)</f>
        <v>3</v>
      </c>
      <c r="L15" s="1"/>
      <c r="M15" s="1"/>
      <c r="N15" s="1"/>
      <c r="O15" s="1"/>
      <c r="P15" s="1"/>
    </row>
    <row r="16" spans="1:16" ht="25.05" customHeight="1">
      <c r="A16" s="1" t="s">
        <v>20</v>
      </c>
      <c r="B16" s="3">
        <v>46315</v>
      </c>
      <c r="C16" s="3">
        <v>46318</v>
      </c>
      <c r="D16" s="1">
        <f t="shared" si="0"/>
        <v>4</v>
      </c>
      <c r="E16" s="1" t="s">
        <v>10</v>
      </c>
      <c r="F16" s="1"/>
      <c r="G16" s="1"/>
      <c r="H16" s="5" t="str">
        <f>A11</f>
        <v>Interview</v>
      </c>
      <c r="I16" s="5">
        <f>B11-$B$4</f>
        <v>12</v>
      </c>
      <c r="J16" s="5">
        <f>IF(E11="High",D11,0)</f>
        <v>0</v>
      </c>
      <c r="K16" s="5">
        <f>IF(E11="Medium",D11,0)</f>
        <v>3</v>
      </c>
      <c r="L16" s="1"/>
      <c r="M16" s="1"/>
      <c r="N16" s="1"/>
      <c r="O16" s="1"/>
      <c r="P16" s="1"/>
    </row>
    <row r="17" spans="1:16" ht="25.05" customHeight="1">
      <c r="A17" s="1" t="s">
        <v>21</v>
      </c>
      <c r="B17" s="3">
        <v>46319</v>
      </c>
      <c r="C17" s="3">
        <v>46322</v>
      </c>
      <c r="D17" s="1">
        <f t="shared" si="0"/>
        <v>4</v>
      </c>
      <c r="E17" s="1" t="s">
        <v>10</v>
      </c>
      <c r="F17" s="1"/>
      <c r="G17" s="1"/>
      <c r="H17" s="5" t="str">
        <f>A10</f>
        <v>PERT and Gantt Chart</v>
      </c>
      <c r="I17" s="5">
        <f>B10-$B$4</f>
        <v>6</v>
      </c>
      <c r="J17" s="5">
        <f>IF(E10="High",D10,0)</f>
        <v>6</v>
      </c>
      <c r="K17" s="5">
        <f>IF(E10="Medium",D10,0)</f>
        <v>0</v>
      </c>
      <c r="L17" s="1"/>
      <c r="M17" s="1"/>
      <c r="N17" s="1"/>
      <c r="O17" s="1"/>
      <c r="P17" s="1"/>
    </row>
    <row r="18" spans="1:16" ht="25.05" customHeight="1">
      <c r="A18" s="1" t="s">
        <v>22</v>
      </c>
      <c r="B18" s="3">
        <v>46323</v>
      </c>
      <c r="C18" s="3">
        <v>46342</v>
      </c>
      <c r="D18" s="1">
        <f t="shared" si="0"/>
        <v>20</v>
      </c>
      <c r="E18" s="1" t="s">
        <v>10</v>
      </c>
      <c r="F18" s="1"/>
      <c r="G18" s="1"/>
      <c r="H18" s="5" t="str">
        <f>A9</f>
        <v>Feasibility Study</v>
      </c>
      <c r="I18" s="5">
        <f>B9-$B$4</f>
        <v>2</v>
      </c>
      <c r="J18" s="5">
        <f>IF(E9="High",D9,0)</f>
        <v>4</v>
      </c>
      <c r="K18" s="5">
        <f>IF(E9="Medium",D9,0)</f>
        <v>0</v>
      </c>
      <c r="L18" s="1"/>
      <c r="M18" s="1"/>
      <c r="N18" s="1"/>
      <c r="O18" s="1"/>
      <c r="P18" s="1"/>
    </row>
    <row r="19" spans="1:16" ht="25.05" customHeight="1">
      <c r="A19" s="1" t="s">
        <v>23</v>
      </c>
      <c r="B19" s="3">
        <v>46343</v>
      </c>
      <c r="C19" s="3">
        <v>46366</v>
      </c>
      <c r="D19" s="1">
        <f t="shared" si="0"/>
        <v>24</v>
      </c>
      <c r="E19" s="1" t="s">
        <v>10</v>
      </c>
      <c r="F19" s="1"/>
      <c r="G19" s="1"/>
      <c r="H19" s="5" t="str">
        <f>A8</f>
        <v>System Request</v>
      </c>
      <c r="I19" s="5">
        <f>B8-$B$4</f>
        <v>0</v>
      </c>
      <c r="J19" s="5">
        <f>IF(E8="High",D8,0)</f>
        <v>2</v>
      </c>
      <c r="K19" s="5">
        <f>IF(E8="Medium",D8,0)</f>
        <v>0</v>
      </c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</sheetData>
  <conditionalFormatting sqref="E8:E19">
    <cfRule type="expression" dxfId="1" priority="1">
      <formula>E8="High"</formula>
    </cfRule>
    <cfRule type="expression" dxfId="0" priority="2">
      <formula>E8="Medium"</formula>
    </cfRule>
  </conditionalFormatting>
  <dataValidations count="1">
    <dataValidation type="list" sqref="E8:E19" xr:uid="{00000000-0002-0000-0000-000000000000}">
      <formula1>"High,Medium"</formula1>
    </dataValidation>
  </dataValidations>
  <pageMargins left="0.7" right="0.7" top="0.75" bottom="0.75" header="0.3" footer="0.3"/>
  <headerFooter>
    <oddHeader>&amp;L&amp;"Aptos"&amp;10&amp;K000000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Gantt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MOAAZ.mohamed</cp:lastModifiedBy>
  <dcterms:modified xsi:type="dcterms:W3CDTF">2026-10-10T17:35:12Z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c305d5-92c3-4e9c-a756-70361f1dd1b0_Enabled">
    <vt:lpwstr>true</vt:lpwstr>
  </property>
  <property fmtid="{D5CDD505-2E9C-101B-9397-08002B2CF9AE}" pid="3" name="MSIP_Label_00c305d5-92c3-4e9c-a756-70361f1dd1b0_SetDate">
    <vt:lpwstr>2026-10-10T17:11:35Z</vt:lpwstr>
  </property>
  <property fmtid="{D5CDD505-2E9C-101B-9397-08002B2CF9AE}" pid="4" name="MSIP_Label_00c305d5-92c3-4e9c-a756-70361f1dd1b0_Method">
    <vt:lpwstr>Standard</vt:lpwstr>
  </property>
  <property fmtid="{D5CDD505-2E9C-101B-9397-08002B2CF9AE}" pid="5" name="MSIP_Label_00c305d5-92c3-4e9c-a756-70361f1dd1b0_Name">
    <vt:lpwstr>public</vt:lpwstr>
  </property>
  <property fmtid="{D5CDD505-2E9C-101B-9397-08002B2CF9AE}" pid="6" name="MSIP_Label_00c305d5-92c3-4e9c-a756-70361f1dd1b0_SiteId">
    <vt:lpwstr>29d02b7a-fa50-40cc-8d1c-a452a519c6a5</vt:lpwstr>
  </property>
  <property fmtid="{D5CDD505-2E9C-101B-9397-08002B2CF9AE}" pid="7" name="MSIP_Label_00c305d5-92c3-4e9c-a756-70361f1dd1b0_ActionId">
    <vt:lpwstr>19e7b35f-8c7b-4ac4-b0f3-3d38c7004a33</vt:lpwstr>
  </property>
  <property fmtid="{D5CDD505-2E9C-101B-9397-08002B2CF9AE}" pid="8" name="MSIP_Label_00c305d5-92c3-4e9c-a756-70361f1dd1b0_ContentBits">
    <vt:lpwstr>1</vt:lpwstr>
  </property>
  <property fmtid="{D5CDD505-2E9C-101B-9397-08002B2CF9AE}" pid="9" name="MSIP_Label_00c305d5-92c3-4e9c-a756-70361f1dd1b0_Tag">
    <vt:lpwstr>10, 3, 0, 1</vt:lpwstr>
  </property>
</Properties>
</file>